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- Graphs" sheetId="1" state="visible" r:id="rId1"/>
    <sheet name="Q2 - EOS" sheetId="2" state="visible" r:id="rId2"/>
    <sheet name="Q3 - V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FFFFFF"/>
      <sz val="11"/>
    </font>
    <font>
      <b val="1"/>
      <sz val="10"/>
    </font>
    <font>
      <b val="1"/>
      <color rgb="00FF0000"/>
      <sz val="10"/>
    </font>
    <font>
      <i val="1"/>
      <sz val="9"/>
    </font>
    <font>
      <b val="1"/>
      <i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Polynomial Functions over [-10, 10]</a:t>
            </a:r>
          </a:p>
        </rich>
      </tx>
    </title>
    <plotArea>
      <lineChart>
        <grouping val="standard"/>
        <ser>
          <idx val="0"/>
          <order val="0"/>
          <tx>
            <strRef>
              <f>'Q1 - Graphs'!B2</f>
            </strRef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ser>
          <idx val="1"/>
          <order val="1"/>
          <tx>
            <strRef>
              <f>'Q1 - Graphs'!C2</f>
            </strRef>
          </tx>
          <spPr>
            <a:ln w="20000"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ser>
          <idx val="2"/>
          <order val="2"/>
          <tx>
            <strRef>
              <f>'Q1 - Graphs'!D2</f>
            </strRef>
          </tx>
          <spPr>
            <a:ln w="20000"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ser>
          <idx val="3"/>
          <order val="3"/>
          <tx>
            <strRef>
              <f>'Q1 - Graphs'!E2</f>
            </strRef>
          </tx>
          <spPr>
            <a:ln w="20000"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Pxy Diagram — Benzene-Toluene at 80°C</a:t>
            </a:r>
          </a:p>
        </rich>
      </tx>
    </title>
    <plotArea>
      <lineChart>
        <grouping val="standard"/>
        <ser>
          <idx val="0"/>
          <order val="0"/>
          <tx>
            <strRef>
              <f>'Q3 - VLE'!D9</f>
            </strRef>
          </tx>
          <spPr>
            <a:ln w="20000"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ser>
          <idx val="1"/>
          <order val="1"/>
          <tx>
            <strRef>
              <f>'Q3 - VLE'!E9</f>
            </strRef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x_B or y_B (mole fraction Benzene)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Pressure (mmHg)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Txy Diagram — Benzene-Toluene at 1 atm</a:t>
            </a:r>
          </a:p>
        </rich>
      </tx>
    </title>
    <plotArea>
      <lineChart>
        <grouping val="standard"/>
        <ser>
          <idx val="0"/>
          <order val="0"/>
          <tx>
            <strRef>
              <f>'Q3 - VLE'!B33</f>
            </strRef>
          </tx>
          <spPr>
            <a:ln w="20000"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ser>
          <idx val="1"/>
          <order val="1"/>
          <tx>
            <strRef>
              <f>'Q3 - VLE'!E33</f>
            </strRef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x_B or y_B (mole fraction Benzene)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31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Q1 - Plot of Polynomial Equations (Domain: -10 ≤ x ≤ 10)</t>
        </is>
      </c>
    </row>
    <row r="2">
      <c r="A2" s="2" t="inlineStr">
        <is>
          <t>x</t>
        </is>
      </c>
      <c r="B2" s="2" t="inlineStr">
        <is>
          <t>y1 = x³-2x²+5x+2</t>
        </is>
      </c>
      <c r="C2" s="2" t="inlineStr">
        <is>
          <t>y2 = 3x³-x²+5x-3</t>
        </is>
      </c>
      <c r="D2" s="2" t="inlineStr">
        <is>
          <t>y3 = x²-5x+3</t>
        </is>
      </c>
      <c r="E2" s="2" t="inlineStr">
        <is>
          <t>y4 = 2x-9</t>
        </is>
      </c>
    </row>
    <row r="3">
      <c r="A3" s="3" t="n">
        <v>-10</v>
      </c>
      <c r="B3" s="3" t="n">
        <v>-1248</v>
      </c>
      <c r="C3" s="3" t="n">
        <v>-3153</v>
      </c>
      <c r="D3" s="3" t="n">
        <v>153</v>
      </c>
      <c r="E3" s="3" t="n">
        <v>-29</v>
      </c>
    </row>
    <row r="4">
      <c r="A4" s="4" t="n">
        <v>-9</v>
      </c>
      <c r="B4" s="4" t="n">
        <v>-934</v>
      </c>
      <c r="C4" s="4" t="n">
        <v>-2316</v>
      </c>
      <c r="D4" s="4" t="n">
        <v>129</v>
      </c>
      <c r="E4" s="4" t="n">
        <v>-27</v>
      </c>
    </row>
    <row r="5">
      <c r="A5" s="3" t="n">
        <v>-8</v>
      </c>
      <c r="B5" s="3" t="n">
        <v>-678</v>
      </c>
      <c r="C5" s="3" t="n">
        <v>-1643</v>
      </c>
      <c r="D5" s="3" t="n">
        <v>107</v>
      </c>
      <c r="E5" s="3" t="n">
        <v>-25</v>
      </c>
    </row>
    <row r="6">
      <c r="A6" s="4" t="n">
        <v>-7</v>
      </c>
      <c r="B6" s="4" t="n">
        <v>-474</v>
      </c>
      <c r="C6" s="4" t="n">
        <v>-1116</v>
      </c>
      <c r="D6" s="4" t="n">
        <v>87</v>
      </c>
      <c r="E6" s="4" t="n">
        <v>-23</v>
      </c>
    </row>
    <row r="7">
      <c r="A7" s="3" t="n">
        <v>-6</v>
      </c>
      <c r="B7" s="3" t="n">
        <v>-316</v>
      </c>
      <c r="C7" s="3" t="n">
        <v>-717</v>
      </c>
      <c r="D7" s="3" t="n">
        <v>69</v>
      </c>
      <c r="E7" s="3" t="n">
        <v>-21</v>
      </c>
    </row>
    <row r="8">
      <c r="A8" s="4" t="n">
        <v>-5</v>
      </c>
      <c r="B8" s="4" t="n">
        <v>-198</v>
      </c>
      <c r="C8" s="4" t="n">
        <v>-428</v>
      </c>
      <c r="D8" s="4" t="n">
        <v>53</v>
      </c>
      <c r="E8" s="4" t="n">
        <v>-19</v>
      </c>
    </row>
    <row r="9">
      <c r="A9" s="3" t="n">
        <v>-4</v>
      </c>
      <c r="B9" s="3" t="n">
        <v>-114</v>
      </c>
      <c r="C9" s="3" t="n">
        <v>-231</v>
      </c>
      <c r="D9" s="3" t="n">
        <v>39</v>
      </c>
      <c r="E9" s="3" t="n">
        <v>-17</v>
      </c>
    </row>
    <row r="10">
      <c r="A10" s="4" t="n">
        <v>-3</v>
      </c>
      <c r="B10" s="4" t="n">
        <v>-58</v>
      </c>
      <c r="C10" s="4" t="n">
        <v>-108</v>
      </c>
      <c r="D10" s="4" t="n">
        <v>27</v>
      </c>
      <c r="E10" s="4" t="n">
        <v>-15</v>
      </c>
    </row>
    <row r="11">
      <c r="A11" s="3" t="n">
        <v>-2</v>
      </c>
      <c r="B11" s="3" t="n">
        <v>-24</v>
      </c>
      <c r="C11" s="3" t="n">
        <v>-41</v>
      </c>
      <c r="D11" s="3" t="n">
        <v>17</v>
      </c>
      <c r="E11" s="3" t="n">
        <v>-13</v>
      </c>
    </row>
    <row r="12">
      <c r="A12" s="4" t="n">
        <v>-1</v>
      </c>
      <c r="B12" s="4" t="n">
        <v>-6</v>
      </c>
      <c r="C12" s="4" t="n">
        <v>-12</v>
      </c>
      <c r="D12" s="4" t="n">
        <v>9</v>
      </c>
      <c r="E12" s="4" t="n">
        <v>-11</v>
      </c>
    </row>
    <row r="13">
      <c r="A13" s="3" t="n">
        <v>0</v>
      </c>
      <c r="B13" s="3" t="n">
        <v>2</v>
      </c>
      <c r="C13" s="3" t="n">
        <v>-3</v>
      </c>
      <c r="D13" s="3" t="n">
        <v>3</v>
      </c>
      <c r="E13" s="3" t="n">
        <v>-9</v>
      </c>
    </row>
    <row r="14">
      <c r="A14" s="4" t="n">
        <v>1</v>
      </c>
      <c r="B14" s="4" t="n">
        <v>6</v>
      </c>
      <c r="C14" s="4" t="n">
        <v>4</v>
      </c>
      <c r="D14" s="4" t="n">
        <v>-1</v>
      </c>
      <c r="E14" s="4" t="n">
        <v>-7</v>
      </c>
    </row>
    <row r="15">
      <c r="A15" s="3" t="n">
        <v>2</v>
      </c>
      <c r="B15" s="3" t="n">
        <v>12</v>
      </c>
      <c r="C15" s="3" t="n">
        <v>27</v>
      </c>
      <c r="D15" s="3" t="n">
        <v>-3</v>
      </c>
      <c r="E15" s="3" t="n">
        <v>-5</v>
      </c>
    </row>
    <row r="16">
      <c r="A16" s="4" t="n">
        <v>3</v>
      </c>
      <c r="B16" s="4" t="n">
        <v>26</v>
      </c>
      <c r="C16" s="4" t="n">
        <v>84</v>
      </c>
      <c r="D16" s="4" t="n">
        <v>-3</v>
      </c>
      <c r="E16" s="4" t="n">
        <v>-3</v>
      </c>
    </row>
    <row r="17">
      <c r="A17" s="3" t="n">
        <v>4</v>
      </c>
      <c r="B17" s="3" t="n">
        <v>54</v>
      </c>
      <c r="C17" s="3" t="n">
        <v>193</v>
      </c>
      <c r="D17" s="3" t="n">
        <v>-1</v>
      </c>
      <c r="E17" s="3" t="n">
        <v>-1</v>
      </c>
    </row>
    <row r="18">
      <c r="A18" s="4" t="n">
        <v>5</v>
      </c>
      <c r="B18" s="4" t="n">
        <v>102</v>
      </c>
      <c r="C18" s="4" t="n">
        <v>372</v>
      </c>
      <c r="D18" s="4" t="n">
        <v>3</v>
      </c>
      <c r="E18" s="4" t="n">
        <v>1</v>
      </c>
    </row>
    <row r="19">
      <c r="A19" s="3" t="n">
        <v>6</v>
      </c>
      <c r="B19" s="3" t="n">
        <v>176</v>
      </c>
      <c r="C19" s="3" t="n">
        <v>639</v>
      </c>
      <c r="D19" s="3" t="n">
        <v>9</v>
      </c>
      <c r="E19" s="3" t="n">
        <v>3</v>
      </c>
    </row>
    <row r="20">
      <c r="A20" s="4" t="n">
        <v>7</v>
      </c>
      <c r="B20" s="4" t="n">
        <v>282</v>
      </c>
      <c r="C20" s="4" t="n">
        <v>1012</v>
      </c>
      <c r="D20" s="4" t="n">
        <v>17</v>
      </c>
      <c r="E20" s="4" t="n">
        <v>5</v>
      </c>
    </row>
    <row r="21">
      <c r="A21" s="3" t="n">
        <v>8</v>
      </c>
      <c r="B21" s="3" t="n">
        <v>426</v>
      </c>
      <c r="C21" s="3" t="n">
        <v>1509</v>
      </c>
      <c r="D21" s="3" t="n">
        <v>27</v>
      </c>
      <c r="E21" s="3" t="n">
        <v>7</v>
      </c>
    </row>
    <row r="22">
      <c r="A22" s="4" t="n">
        <v>9</v>
      </c>
      <c r="B22" s="4" t="n">
        <v>614</v>
      </c>
      <c r="C22" s="4" t="n">
        <v>2148</v>
      </c>
      <c r="D22" s="4" t="n">
        <v>39</v>
      </c>
      <c r="E22" s="4" t="n">
        <v>9</v>
      </c>
    </row>
    <row r="23">
      <c r="A23" s="3" t="n">
        <v>10</v>
      </c>
      <c r="B23" s="3" t="n">
        <v>852</v>
      </c>
      <c r="C23" s="3" t="n">
        <v>2947</v>
      </c>
      <c r="D23" s="3" t="n">
        <v>53</v>
      </c>
      <c r="E23" s="3" t="n">
        <v>11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Q2 - Specific Volume of Gas Mixture (25% NH3, 75% N2/H2 at 1:3 ratio)</t>
        </is>
      </c>
    </row>
    <row r="3">
      <c r="A3" s="5" t="inlineStr">
        <is>
          <t>Given Conditions</t>
        </is>
      </c>
    </row>
    <row r="4">
      <c r="A4" s="6" t="inlineStr">
        <is>
          <t>Temperature T (K)</t>
        </is>
      </c>
      <c r="B4" s="7" t="n"/>
      <c r="C4" s="8" t="n"/>
      <c r="D4" s="3" t="n">
        <v>550</v>
      </c>
    </row>
    <row r="5">
      <c r="A5" s="6" t="inlineStr">
        <is>
          <t>Pressure P (atm)</t>
        </is>
      </c>
      <c r="B5" s="7" t="n"/>
      <c r="C5" s="8" t="n"/>
      <c r="D5" s="3" t="n">
        <v>270</v>
      </c>
    </row>
    <row r="6">
      <c r="A6" s="6" t="inlineStr">
        <is>
          <t>Gas Constant R (cm³·atm/mol·K)</t>
        </is>
      </c>
      <c r="B6" s="7" t="n"/>
      <c r="C6" s="8" t="n"/>
      <c r="D6" s="3" t="n">
        <v>82.06</v>
      </c>
    </row>
    <row r="8">
      <c r="A8" s="5" t="inlineStr">
        <is>
          <t>Component Critical Properties &amp; Composition</t>
        </is>
      </c>
    </row>
    <row r="9">
      <c r="A9" s="2" t="inlineStr">
        <is>
          <t>Component</t>
        </is>
      </c>
      <c r="B9" s="2" t="inlineStr">
        <is>
          <t>yi (mol frac)</t>
        </is>
      </c>
      <c r="C9" s="2" t="inlineStr">
        <is>
          <t>Tc (K)</t>
        </is>
      </c>
      <c r="D9" s="2" t="inlineStr">
        <is>
          <t>Pc (atm)</t>
        </is>
      </c>
      <c r="E9" s="2" t="inlineStr">
        <is>
          <t>ω (acentric)</t>
        </is>
      </c>
      <c r="F9" s="2" t="inlineStr">
        <is>
          <t>Tr = T/Tc</t>
        </is>
      </c>
    </row>
    <row r="10">
      <c r="A10" s="4" t="inlineStr">
        <is>
          <t>NH3</t>
        </is>
      </c>
      <c r="B10" s="4" t="n">
        <v>0.25</v>
      </c>
      <c r="C10" s="4" t="n">
        <v>405.6</v>
      </c>
      <c r="D10" s="4" t="n">
        <v>111.3</v>
      </c>
      <c r="E10" s="4" t="n">
        <v>0.25</v>
      </c>
      <c r="F10" s="4" t="n">
        <v>1.356</v>
      </c>
    </row>
    <row r="11">
      <c r="A11" s="3" t="inlineStr">
        <is>
          <t>N2</t>
        </is>
      </c>
      <c r="B11" s="3" t="n">
        <v>0.1875</v>
      </c>
      <c r="C11" s="3" t="n">
        <v>126.2</v>
      </c>
      <c r="D11" s="3" t="n">
        <v>33.5</v>
      </c>
      <c r="E11" s="3" t="n">
        <v>0.04</v>
      </c>
      <c r="F11" s="3" t="n">
        <v>4.3582</v>
      </c>
    </row>
    <row r="12">
      <c r="A12" s="4" t="inlineStr">
        <is>
          <t>H2</t>
        </is>
      </c>
      <c r="B12" s="4" t="n">
        <v>0.5625</v>
      </c>
      <c r="C12" s="4" t="n">
        <v>33.2</v>
      </c>
      <c r="D12" s="4" t="n">
        <v>12.8</v>
      </c>
      <c r="E12" s="4" t="n">
        <v>-0.216</v>
      </c>
      <c r="F12" s="4" t="n">
        <v>16.5663</v>
      </c>
    </row>
    <row r="14">
      <c r="A14" s="9" t="inlineStr">
        <is>
          <t>(a) Ideal Gas Law:  v = RT/P</t>
        </is>
      </c>
    </row>
    <row r="15">
      <c r="A15" s="6" t="inlineStr">
        <is>
          <t>v_ideal (cm³/mol)</t>
        </is>
      </c>
      <c r="B15" s="7" t="n"/>
      <c r="C15" s="8" t="n"/>
      <c r="D15" s="10" t="n">
        <v>167.1593</v>
      </c>
    </row>
    <row r="16">
      <c r="A16" s="11" t="inlineStr">
        <is>
          <t>Formula: v = R × T / P = 82.06 × 550 / 270</t>
        </is>
      </c>
    </row>
    <row r="18">
      <c r="A18" s="9" t="inlineStr">
        <is>
          <t>(b) Redlich-Kwong (RK) Equation of State</t>
        </is>
      </c>
    </row>
    <row r="19">
      <c r="A19" s="2" t="inlineStr">
        <is>
          <t>Component</t>
        </is>
      </c>
      <c r="B19" s="2" t="inlineStr">
        <is>
          <t>yi</t>
        </is>
      </c>
      <c r="C19" s="2" t="inlineStr">
        <is>
          <t>ai (RK)</t>
        </is>
      </c>
      <c r="D19" s="2" t="inlineStr">
        <is>
          <t>bi (RK)</t>
        </is>
      </c>
      <c r="E19" s="2" t="inlineStr">
        <is>
          <t>yi*ai</t>
        </is>
      </c>
      <c r="F19" s="2" t="inlineStr">
        <is>
          <t>yi*bi</t>
        </is>
      </c>
    </row>
    <row r="20">
      <c r="A20" s="4" t="inlineStr">
        <is>
          <t>NH3</t>
        </is>
      </c>
      <c r="B20" s="4" t="n">
        <v>0.25</v>
      </c>
      <c r="C20" s="4" t="n">
        <v>85689681.27</v>
      </c>
      <c r="D20" s="4" t="n">
        <v>25.9091</v>
      </c>
      <c r="E20" s="4" t="n">
        <v>21422420.32</v>
      </c>
      <c r="F20" s="4" t="n">
        <v>6.4773</v>
      </c>
    </row>
    <row r="21">
      <c r="A21" s="3" t="inlineStr">
        <is>
          <t>N2</t>
        </is>
      </c>
      <c r="B21" s="3" t="n">
        <v>0.1875</v>
      </c>
      <c r="C21" s="3" t="n">
        <v>15373841.74</v>
      </c>
      <c r="D21" s="3" t="n">
        <v>26.7833</v>
      </c>
      <c r="E21" s="3" t="n">
        <v>2882595.33</v>
      </c>
      <c r="F21" s="3" t="n">
        <v>5.0219</v>
      </c>
    </row>
    <row r="22">
      <c r="A22" s="4" t="inlineStr">
        <is>
          <t>H2</t>
        </is>
      </c>
      <c r="B22" s="4" t="n">
        <v>0.5625</v>
      </c>
      <c r="C22" s="4" t="n">
        <v>1428282.34</v>
      </c>
      <c r="D22" s="4" t="n">
        <v>18.4407</v>
      </c>
      <c r="E22" s="4" t="n">
        <v>803408.8100000001</v>
      </c>
      <c r="F22" s="4" t="n">
        <v>10.3729</v>
      </c>
    </row>
    <row r="23">
      <c r="A23" s="6" t="inlineStr">
        <is>
          <t>a_mix (RK)</t>
        </is>
      </c>
      <c r="B23" s="7" t="n"/>
      <c r="C23" s="8" t="n"/>
      <c r="D23" s="3" t="n">
        <v>13850634.39</v>
      </c>
    </row>
    <row r="24">
      <c r="A24" s="6" t="inlineStr">
        <is>
          <t>b_mix (RK)</t>
        </is>
      </c>
      <c r="B24" s="7" t="n"/>
      <c r="C24" s="8" t="n"/>
      <c r="D24" s="3" t="n">
        <v>21.8721</v>
      </c>
    </row>
    <row r="25">
      <c r="A25" s="6" t="inlineStr">
        <is>
          <t>v_RK (cm³/mol)  [Goal Seek result]</t>
        </is>
      </c>
      <c r="B25" s="7" t="n"/>
      <c r="C25" s="8" t="n"/>
      <c r="D25" s="10" t="n">
        <v>179.4922</v>
      </c>
    </row>
    <row r="27">
      <c r="A27" s="9" t="inlineStr">
        <is>
          <t>(c) Redlich-Kwong-Soave (RKS) Equation of State</t>
        </is>
      </c>
    </row>
    <row r="28">
      <c r="A28" s="2" t="inlineStr">
        <is>
          <t>Component</t>
        </is>
      </c>
      <c r="B28" s="2" t="inlineStr">
        <is>
          <t>yi</t>
        </is>
      </c>
      <c r="C28" s="2" t="inlineStr">
        <is>
          <t>m_i</t>
        </is>
      </c>
      <c r="D28" s="2" t="inlineStr">
        <is>
          <t>alpha_i</t>
        </is>
      </c>
      <c r="E28" s="2" t="inlineStr">
        <is>
          <t>ai (RKS)</t>
        </is>
      </c>
      <c r="F28" s="2" t="inlineStr">
        <is>
          <t>bi (RKS)</t>
        </is>
      </c>
    </row>
    <row r="29">
      <c r="A29" s="3" t="inlineStr">
        <is>
          <t>NH3</t>
        </is>
      </c>
      <c r="B29" s="3" t="n">
        <v>0.25</v>
      </c>
      <c r="C29" s="3" t="n">
        <v>0.8625</v>
      </c>
      <c r="D29" s="3" t="n">
        <v>0.7364000000000001</v>
      </c>
      <c r="E29" s="3" t="n">
        <v>3133220.84</v>
      </c>
      <c r="F29" s="3" t="n">
        <v>25.9091</v>
      </c>
    </row>
    <row r="30">
      <c r="A30" s="4" t="inlineStr">
        <is>
          <t>N2</t>
        </is>
      </c>
      <c r="B30" s="4" t="n">
        <v>0.1875</v>
      </c>
      <c r="C30" s="4" t="n">
        <v>0.5427</v>
      </c>
      <c r="D30" s="4" t="n">
        <v>0.1679</v>
      </c>
      <c r="E30" s="4" t="n">
        <v>229792.75</v>
      </c>
      <c r="F30" s="4" t="n">
        <v>26.7833</v>
      </c>
    </row>
    <row r="31">
      <c r="A31" s="3" t="inlineStr">
        <is>
          <t>H2</t>
        </is>
      </c>
      <c r="B31" s="3" t="n">
        <v>0.5625</v>
      </c>
      <c r="C31" s="3" t="n">
        <v>0.1318</v>
      </c>
      <c r="D31" s="3" t="n">
        <v>0.3544</v>
      </c>
      <c r="E31" s="3" t="n">
        <v>87856.14999999999</v>
      </c>
      <c r="F31" s="3" t="n">
        <v>18.4407</v>
      </c>
    </row>
    <row r="32">
      <c r="A32" s="6" t="inlineStr">
        <is>
          <t>a_mix (RKS)</t>
        </is>
      </c>
      <c r="B32" s="7" t="n"/>
      <c r="C32" s="8" t="n"/>
      <c r="D32" s="3" t="n">
        <v>488785.56</v>
      </c>
    </row>
    <row r="33">
      <c r="A33" s="6" t="inlineStr">
        <is>
          <t>b_mix (RKS)</t>
        </is>
      </c>
      <c r="B33" s="7" t="n"/>
      <c r="C33" s="8" t="n"/>
      <c r="D33" s="3" t="n">
        <v>21.8721</v>
      </c>
    </row>
    <row r="34">
      <c r="A34" s="6" t="inlineStr">
        <is>
          <t>v_RKS (cm³/mol)  [Goal Seek result]</t>
        </is>
      </c>
      <c r="B34" s="7" t="n"/>
      <c r="C34" s="8" t="n"/>
      <c r="D34" s="10" t="n">
        <v>181.1925</v>
      </c>
    </row>
    <row r="36">
      <c r="A36" s="9" t="inlineStr">
        <is>
          <t>Comparison of Results</t>
        </is>
      </c>
    </row>
    <row r="37">
      <c r="A37" s="2" t="inlineStr">
        <is>
          <t>Method</t>
        </is>
      </c>
      <c r="B37" s="2" t="inlineStr">
        <is>
          <t>v (cm³/mol)</t>
        </is>
      </c>
      <c r="C37" s="2" t="inlineStr">
        <is>
          <t>Comment</t>
        </is>
      </c>
      <c r="D37" s="7" t="n"/>
      <c r="E37" s="7" t="n"/>
      <c r="F37" s="7" t="n"/>
      <c r="G37" s="7" t="n"/>
      <c r="H37" s="8" t="n"/>
    </row>
    <row r="38">
      <c r="A38" s="12" t="inlineStr">
        <is>
          <t>Ideal Gas Law</t>
        </is>
      </c>
      <c r="B38" s="12" t="n">
        <v>167.1593</v>
      </c>
      <c r="C38" s="13" t="inlineStr">
        <is>
          <t>Assumes no intermolecular forces — overestimates v at high P</t>
        </is>
      </c>
      <c r="D38" s="7" t="n"/>
      <c r="E38" s="7" t="n"/>
      <c r="F38" s="7" t="n"/>
      <c r="G38" s="7" t="n"/>
      <c r="H38" s="8" t="n"/>
    </row>
    <row r="39">
      <c r="A39" s="14" t="inlineStr">
        <is>
          <t>Redlich-Kwong EOS</t>
        </is>
      </c>
      <c r="B39" s="15" t="n">
        <v>179.4922</v>
      </c>
      <c r="C39" s="13" t="inlineStr">
        <is>
          <t>Accounts for attraction &amp; repulsion — more accurate</t>
        </is>
      </c>
      <c r="D39" s="7" t="n"/>
      <c r="E39" s="7" t="n"/>
      <c r="F39" s="7" t="n"/>
      <c r="G39" s="7" t="n"/>
      <c r="H39" s="8" t="n"/>
    </row>
    <row r="40">
      <c r="A40" s="12" t="inlineStr">
        <is>
          <t>RK-Soave (RKS) EOS</t>
        </is>
      </c>
      <c r="B40" s="12" t="n">
        <v>181.1925</v>
      </c>
      <c r="C40" s="13" t="inlineStr">
        <is>
          <t>Includes acentric factor ω → best for polar molecules like NH3</t>
        </is>
      </c>
      <c r="D40" s="7" t="n"/>
      <c r="E40" s="7" t="n"/>
      <c r="F40" s="7" t="n"/>
      <c r="G40" s="7" t="n"/>
      <c r="H40" s="8" t="n"/>
    </row>
  </sheetData>
  <mergeCells count="22">
    <mergeCell ref="A25:C25"/>
    <mergeCell ref="C40:H40"/>
    <mergeCell ref="A36:H36"/>
    <mergeCell ref="A1:H1"/>
    <mergeCell ref="A33:C33"/>
    <mergeCell ref="A5:C5"/>
    <mergeCell ref="A23:C23"/>
    <mergeCell ref="A32:C32"/>
    <mergeCell ref="A16:H16"/>
    <mergeCell ref="C39:H39"/>
    <mergeCell ref="A4:C4"/>
    <mergeCell ref="A27:H27"/>
    <mergeCell ref="A18:H18"/>
    <mergeCell ref="A3:H3"/>
    <mergeCell ref="C38:H38"/>
    <mergeCell ref="C37:H37"/>
    <mergeCell ref="A14:H14"/>
    <mergeCell ref="A34:C34"/>
    <mergeCell ref="A15:C15"/>
    <mergeCell ref="A8:H8"/>
    <mergeCell ref="A24:C24"/>
    <mergeCell ref="A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Q3 - Benzene-Toluene VLE: Pxy and Txy Diagrams (Raoult's Law)</t>
        </is>
      </c>
    </row>
    <row r="3">
      <c r="A3" s="16" t="inlineStr">
        <is>
          <t>Antoine Equation: log10(Psat) = A - B/(C+T),  Psat in mmHg, T in °C</t>
        </is>
      </c>
    </row>
    <row r="4">
      <c r="A4" s="2" t="inlineStr">
        <is>
          <t>Component</t>
        </is>
      </c>
      <c r="B4" s="2" t="inlineStr">
        <is>
          <t>A</t>
        </is>
      </c>
      <c r="C4" s="2" t="inlineStr">
        <is>
          <t>B</t>
        </is>
      </c>
      <c r="D4" s="2" t="inlineStr">
        <is>
          <t>C</t>
        </is>
      </c>
    </row>
    <row r="5">
      <c r="A5" s="3" t="inlineStr">
        <is>
          <t>Benzene</t>
        </is>
      </c>
      <c r="B5" s="3" t="n">
        <v>6.90565</v>
      </c>
      <c r="C5" s="3" t="n">
        <v>1211.033</v>
      </c>
      <c r="D5" s="3" t="n">
        <v>220.79</v>
      </c>
    </row>
    <row r="6">
      <c r="A6" s="4" t="inlineStr">
        <is>
          <t>Toluene</t>
        </is>
      </c>
      <c r="B6" s="4" t="n">
        <v>6.95464</v>
      </c>
      <c r="C6" s="4" t="n">
        <v>1344.8</v>
      </c>
      <c r="D6" s="4" t="n">
        <v>219.482</v>
      </c>
    </row>
    <row r="8">
      <c r="A8" s="9" t="inlineStr">
        <is>
          <t>Pxy Diagram Data — Isothermal at T = 80°C</t>
        </is>
      </c>
    </row>
    <row r="9">
      <c r="A9" s="2" t="inlineStr">
        <is>
          <t>x_B (liq)</t>
        </is>
      </c>
      <c r="B9" s="2" t="inlineStr">
        <is>
          <t>Psat_B (mmHg)</t>
        </is>
      </c>
      <c r="C9" s="2" t="inlineStr">
        <is>
          <t>Psat_T (mmHg)</t>
        </is>
      </c>
      <c r="D9" s="2" t="inlineStr">
        <is>
          <t>P_bubble (mmHg)</t>
        </is>
      </c>
      <c r="E9" s="2" t="inlineStr">
        <is>
          <t>y_B (vap)</t>
        </is>
      </c>
    </row>
    <row r="10">
      <c r="A10" s="4" t="n">
        <v>0</v>
      </c>
      <c r="B10" s="4" t="n">
        <v>757.66</v>
      </c>
      <c r="C10" s="4" t="n">
        <v>291.22</v>
      </c>
      <c r="D10" s="4" t="n">
        <v>291.22</v>
      </c>
      <c r="E10" s="4" t="n">
        <v>0</v>
      </c>
    </row>
    <row r="11">
      <c r="A11" s="3" t="n">
        <v>0.05</v>
      </c>
      <c r="B11" s="3" t="n">
        <v>757.66</v>
      </c>
      <c r="C11" s="3" t="n">
        <v>291.22</v>
      </c>
      <c r="D11" s="3" t="n">
        <v>314.54</v>
      </c>
      <c r="E11" s="3" t="n">
        <v>0.1204</v>
      </c>
    </row>
    <row r="12">
      <c r="A12" s="4" t="n">
        <v>0.1</v>
      </c>
      <c r="B12" s="4" t="n">
        <v>757.66</v>
      </c>
      <c r="C12" s="4" t="n">
        <v>291.22</v>
      </c>
      <c r="D12" s="4" t="n">
        <v>337.86</v>
      </c>
      <c r="E12" s="4" t="n">
        <v>0.2243</v>
      </c>
    </row>
    <row r="13">
      <c r="A13" s="3" t="n">
        <v>0.15</v>
      </c>
      <c r="B13" s="3" t="n">
        <v>757.66</v>
      </c>
      <c r="C13" s="3" t="n">
        <v>291.22</v>
      </c>
      <c r="D13" s="3" t="n">
        <v>361.19</v>
      </c>
      <c r="E13" s="3" t="n">
        <v>0.3147</v>
      </c>
    </row>
    <row r="14">
      <c r="A14" s="4" t="n">
        <v>0.2</v>
      </c>
      <c r="B14" s="4" t="n">
        <v>757.66</v>
      </c>
      <c r="C14" s="4" t="n">
        <v>291.22</v>
      </c>
      <c r="D14" s="4" t="n">
        <v>384.51</v>
      </c>
      <c r="E14" s="4" t="n">
        <v>0.3941</v>
      </c>
    </row>
    <row r="15">
      <c r="A15" s="3" t="n">
        <v>0.25</v>
      </c>
      <c r="B15" s="3" t="n">
        <v>757.66</v>
      </c>
      <c r="C15" s="3" t="n">
        <v>291.22</v>
      </c>
      <c r="D15" s="3" t="n">
        <v>407.83</v>
      </c>
      <c r="E15" s="3" t="n">
        <v>0.4644</v>
      </c>
    </row>
    <row r="16">
      <c r="A16" s="4" t="n">
        <v>0.3</v>
      </c>
      <c r="B16" s="4" t="n">
        <v>757.66</v>
      </c>
      <c r="C16" s="4" t="n">
        <v>291.22</v>
      </c>
      <c r="D16" s="4" t="n">
        <v>431.15</v>
      </c>
      <c r="E16" s="4" t="n">
        <v>0.5272</v>
      </c>
    </row>
    <row r="17">
      <c r="A17" s="3" t="n">
        <v>0.35</v>
      </c>
      <c r="B17" s="3" t="n">
        <v>757.66</v>
      </c>
      <c r="C17" s="3" t="n">
        <v>291.22</v>
      </c>
      <c r="D17" s="3" t="n">
        <v>454.47</v>
      </c>
      <c r="E17" s="3" t="n">
        <v>0.5835</v>
      </c>
    </row>
    <row r="18">
      <c r="A18" s="4" t="n">
        <v>0.4</v>
      </c>
      <c r="B18" s="4" t="n">
        <v>757.66</v>
      </c>
      <c r="C18" s="4" t="n">
        <v>291.22</v>
      </c>
      <c r="D18" s="4" t="n">
        <v>477.8</v>
      </c>
      <c r="E18" s="4" t="n">
        <v>0.6343</v>
      </c>
    </row>
    <row r="19">
      <c r="A19" s="3" t="n">
        <v>0.45</v>
      </c>
      <c r="B19" s="3" t="n">
        <v>757.66</v>
      </c>
      <c r="C19" s="3" t="n">
        <v>291.22</v>
      </c>
      <c r="D19" s="3" t="n">
        <v>501.12</v>
      </c>
      <c r="E19" s="3" t="n">
        <v>0.6804</v>
      </c>
    </row>
    <row r="20">
      <c r="A20" s="4" t="n">
        <v>0.5</v>
      </c>
      <c r="B20" s="4" t="n">
        <v>757.66</v>
      </c>
      <c r="C20" s="4" t="n">
        <v>291.22</v>
      </c>
      <c r="D20" s="4" t="n">
        <v>524.4400000000001</v>
      </c>
      <c r="E20" s="4" t="n">
        <v>0.7224</v>
      </c>
    </row>
    <row r="21">
      <c r="A21" s="3" t="n">
        <v>0.55</v>
      </c>
      <c r="B21" s="3" t="n">
        <v>757.66</v>
      </c>
      <c r="C21" s="3" t="n">
        <v>291.22</v>
      </c>
      <c r="D21" s="3" t="n">
        <v>547.76</v>
      </c>
      <c r="E21" s="3" t="n">
        <v>0.7608</v>
      </c>
    </row>
    <row r="22">
      <c r="A22" s="4" t="n">
        <v>0.6</v>
      </c>
      <c r="B22" s="4" t="n">
        <v>757.66</v>
      </c>
      <c r="C22" s="4" t="n">
        <v>291.22</v>
      </c>
      <c r="D22" s="4" t="n">
        <v>571.08</v>
      </c>
      <c r="E22" s="4" t="n">
        <v>0.796</v>
      </c>
    </row>
    <row r="23">
      <c r="A23" s="3" t="n">
        <v>0.65</v>
      </c>
      <c r="B23" s="3" t="n">
        <v>757.66</v>
      </c>
      <c r="C23" s="3" t="n">
        <v>291.22</v>
      </c>
      <c r="D23" s="3" t="n">
        <v>594.41</v>
      </c>
      <c r="E23" s="3" t="n">
        <v>0.8285</v>
      </c>
    </row>
    <row r="24">
      <c r="A24" s="4" t="n">
        <v>0.7</v>
      </c>
      <c r="B24" s="4" t="n">
        <v>757.66</v>
      </c>
      <c r="C24" s="4" t="n">
        <v>291.22</v>
      </c>
      <c r="D24" s="4" t="n">
        <v>617.73</v>
      </c>
      <c r="E24" s="4" t="n">
        <v>0.8586</v>
      </c>
    </row>
    <row r="25">
      <c r="A25" s="3" t="n">
        <v>0.75</v>
      </c>
      <c r="B25" s="3" t="n">
        <v>757.66</v>
      </c>
      <c r="C25" s="3" t="n">
        <v>291.22</v>
      </c>
      <c r="D25" s="3" t="n">
        <v>641.05</v>
      </c>
      <c r="E25" s="3" t="n">
        <v>0.8864</v>
      </c>
    </row>
    <row r="26">
      <c r="A26" s="4" t="n">
        <v>0.8</v>
      </c>
      <c r="B26" s="4" t="n">
        <v>757.66</v>
      </c>
      <c r="C26" s="4" t="n">
        <v>291.22</v>
      </c>
      <c r="D26" s="4" t="n">
        <v>664.37</v>
      </c>
      <c r="E26" s="4" t="n">
        <v>0.9123</v>
      </c>
    </row>
    <row r="27">
      <c r="A27" s="3" t="n">
        <v>0.85</v>
      </c>
      <c r="B27" s="3" t="n">
        <v>757.66</v>
      </c>
      <c r="C27" s="3" t="n">
        <v>291.22</v>
      </c>
      <c r="D27" s="3" t="n">
        <v>687.7</v>
      </c>
      <c r="E27" s="3" t="n">
        <v>0.9365</v>
      </c>
    </row>
    <row r="28">
      <c r="A28" s="4" t="n">
        <v>0.9</v>
      </c>
      <c r="B28" s="4" t="n">
        <v>757.66</v>
      </c>
      <c r="C28" s="4" t="n">
        <v>291.22</v>
      </c>
      <c r="D28" s="4" t="n">
        <v>711.02</v>
      </c>
      <c r="E28" s="4" t="n">
        <v>0.959</v>
      </c>
    </row>
    <row r="29">
      <c r="A29" s="3" t="n">
        <v>0.95</v>
      </c>
      <c r="B29" s="3" t="n">
        <v>757.66</v>
      </c>
      <c r="C29" s="3" t="n">
        <v>291.22</v>
      </c>
      <c r="D29" s="3" t="n">
        <v>734.34</v>
      </c>
      <c r="E29" s="3" t="n">
        <v>0.9802</v>
      </c>
    </row>
    <row r="30">
      <c r="A30" s="4" t="n">
        <v>1</v>
      </c>
      <c r="B30" s="4" t="n">
        <v>757.66</v>
      </c>
      <c r="C30" s="4" t="n">
        <v>291.22</v>
      </c>
      <c r="D30" s="4" t="n">
        <v>757.66</v>
      </c>
      <c r="E30" s="4" t="n">
        <v>1</v>
      </c>
    </row>
    <row r="32">
      <c r="A32" s="9" t="inlineStr">
        <is>
          <t>Txy Diagram Data — Isobaric at P = 760 mmHg (1 atm)</t>
        </is>
      </c>
    </row>
    <row r="33">
      <c r="A33" s="2" t="inlineStr">
        <is>
          <t>x_B (liq)</t>
        </is>
      </c>
      <c r="B33" s="2" t="inlineStr">
        <is>
          <t>T_bubble (°C)</t>
        </is>
      </c>
      <c r="C33" s="2" t="inlineStr">
        <is>
          <t>Psat_B (mmHg)</t>
        </is>
      </c>
      <c r="D33" s="2" t="inlineStr">
        <is>
          <t>Psat_T (mmHg)</t>
        </is>
      </c>
      <c r="E33" s="2" t="inlineStr">
        <is>
          <t>y_B (vap)</t>
        </is>
      </c>
    </row>
    <row r="34">
      <c r="A34" s="4" t="n">
        <v>0</v>
      </c>
      <c r="B34" s="4" t="n">
        <v>110.63</v>
      </c>
      <c r="C34" s="4" t="n">
        <v>1784.54</v>
      </c>
      <c r="D34" s="4" t="n">
        <v>760</v>
      </c>
      <c r="E34" s="4" t="n">
        <v>0</v>
      </c>
    </row>
    <row r="35">
      <c r="A35" s="3" t="n">
        <v>0.05</v>
      </c>
      <c r="B35" s="3" t="n">
        <v>108.32</v>
      </c>
      <c r="C35" s="3" t="n">
        <v>1682.34</v>
      </c>
      <c r="D35" s="3" t="n">
        <v>711.46</v>
      </c>
      <c r="E35" s="3" t="n">
        <v>0.1107</v>
      </c>
    </row>
    <row r="36">
      <c r="A36" s="4" t="n">
        <v>0.1</v>
      </c>
      <c r="B36" s="4" t="n">
        <v>106.14</v>
      </c>
      <c r="C36" s="4" t="n">
        <v>1589.81</v>
      </c>
      <c r="D36" s="4" t="n">
        <v>667.8</v>
      </c>
      <c r="E36" s="4" t="n">
        <v>0.2092</v>
      </c>
    </row>
    <row r="37">
      <c r="A37" s="3" t="n">
        <v>0.15</v>
      </c>
      <c r="B37" s="3" t="n">
        <v>104.07</v>
      </c>
      <c r="C37" s="3" t="n">
        <v>1505.75</v>
      </c>
      <c r="D37" s="3" t="n">
        <v>628.4</v>
      </c>
      <c r="E37" s="3" t="n">
        <v>0.2972</v>
      </c>
    </row>
    <row r="38">
      <c r="A38" s="4" t="n">
        <v>0.2</v>
      </c>
      <c r="B38" s="4" t="n">
        <v>102.1</v>
      </c>
      <c r="C38" s="4" t="n">
        <v>1429.14</v>
      </c>
      <c r="D38" s="4" t="n">
        <v>592.72</v>
      </c>
      <c r="E38" s="4" t="n">
        <v>0.3761</v>
      </c>
    </row>
    <row r="39">
      <c r="A39" s="3" t="n">
        <v>0.25</v>
      </c>
      <c r="B39" s="3" t="n">
        <v>100.23</v>
      </c>
      <c r="C39" s="3" t="n">
        <v>1359.11</v>
      </c>
      <c r="D39" s="3" t="n">
        <v>560.3</v>
      </c>
      <c r="E39" s="3" t="n">
        <v>0.4471</v>
      </c>
    </row>
    <row r="40">
      <c r="A40" s="4" t="n">
        <v>0.3</v>
      </c>
      <c r="B40" s="4" t="n">
        <v>98.45999999999999</v>
      </c>
      <c r="C40" s="4" t="n">
        <v>1294.91</v>
      </c>
      <c r="D40" s="4" t="n">
        <v>530.75</v>
      </c>
      <c r="E40" s="4" t="n">
        <v>0.5111</v>
      </c>
    </row>
    <row r="41">
      <c r="A41" s="3" t="n">
        <v>0.35</v>
      </c>
      <c r="B41" s="3" t="n">
        <v>96.76000000000001</v>
      </c>
      <c r="C41" s="3" t="n">
        <v>1235.9</v>
      </c>
      <c r="D41" s="3" t="n">
        <v>503.75</v>
      </c>
      <c r="E41" s="3" t="n">
        <v>0.5692</v>
      </c>
    </row>
    <row r="42">
      <c r="A42" s="4" t="n">
        <v>0.4</v>
      </c>
      <c r="B42" s="4" t="n">
        <v>95.14</v>
      </c>
      <c r="C42" s="4" t="n">
        <v>1181.51</v>
      </c>
      <c r="D42" s="4" t="n">
        <v>478.99</v>
      </c>
      <c r="E42" s="4" t="n">
        <v>0.6218</v>
      </c>
    </row>
    <row r="43">
      <c r="A43" s="3" t="n">
        <v>0.45</v>
      </c>
      <c r="B43" s="3" t="n">
        <v>93.59</v>
      </c>
      <c r="C43" s="3" t="n">
        <v>1131.26</v>
      </c>
      <c r="D43" s="3" t="n">
        <v>456.24</v>
      </c>
      <c r="E43" s="3" t="n">
        <v>0.6698</v>
      </c>
    </row>
    <row r="44">
      <c r="A44" s="4" t="n">
        <v>0.5</v>
      </c>
      <c r="B44" s="4" t="n">
        <v>92.11</v>
      </c>
      <c r="C44" s="4" t="n">
        <v>1084.73</v>
      </c>
      <c r="D44" s="4" t="n">
        <v>435.27</v>
      </c>
      <c r="E44" s="4" t="n">
        <v>0.7136</v>
      </c>
    </row>
    <row r="45">
      <c r="A45" s="3" t="n">
        <v>0.55</v>
      </c>
      <c r="B45" s="3" t="n">
        <v>90.69</v>
      </c>
      <c r="C45" s="3" t="n">
        <v>1041.53</v>
      </c>
      <c r="D45" s="3" t="n">
        <v>415.91</v>
      </c>
      <c r="E45" s="3" t="n">
        <v>0.7537</v>
      </c>
    </row>
    <row r="46">
      <c r="A46" s="4" t="n">
        <v>0.6</v>
      </c>
      <c r="B46" s="4" t="n">
        <v>89.33</v>
      </c>
      <c r="C46" s="4" t="n">
        <v>1001.34</v>
      </c>
      <c r="D46" s="4" t="n">
        <v>397.98</v>
      </c>
      <c r="E46" s="4" t="n">
        <v>0.7905</v>
      </c>
    </row>
    <row r="47">
      <c r="A47" s="3" t="n">
        <v>0.65</v>
      </c>
      <c r="B47" s="3" t="n">
        <v>88.02</v>
      </c>
      <c r="C47" s="3" t="n">
        <v>963.89</v>
      </c>
      <c r="D47" s="3" t="n">
        <v>381.35</v>
      </c>
      <c r="E47" s="3" t="n">
        <v>0.8244</v>
      </c>
    </row>
    <row r="48">
      <c r="A48" s="4" t="n">
        <v>0.7</v>
      </c>
      <c r="B48" s="4" t="n">
        <v>86.76000000000001</v>
      </c>
      <c r="C48" s="4" t="n">
        <v>928.91</v>
      </c>
      <c r="D48" s="4" t="n">
        <v>365.88</v>
      </c>
      <c r="E48" s="4" t="n">
        <v>0.8556</v>
      </c>
    </row>
    <row r="49">
      <c r="A49" s="3" t="n">
        <v>0.75</v>
      </c>
      <c r="B49" s="3" t="n">
        <v>85.55</v>
      </c>
      <c r="C49" s="3" t="n">
        <v>896.1799999999999</v>
      </c>
      <c r="D49" s="3" t="n">
        <v>351.47</v>
      </c>
      <c r="E49" s="3" t="n">
        <v>0.8844</v>
      </c>
    </row>
    <row r="50">
      <c r="A50" s="4" t="n">
        <v>0.8</v>
      </c>
      <c r="B50" s="4" t="n">
        <v>84.38</v>
      </c>
      <c r="C50" s="4" t="n">
        <v>865.49</v>
      </c>
      <c r="D50" s="4" t="n">
        <v>338.03</v>
      </c>
      <c r="E50" s="4" t="n">
        <v>0.911</v>
      </c>
    </row>
    <row r="51">
      <c r="A51" s="3" t="n">
        <v>0.85</v>
      </c>
      <c r="B51" s="3" t="n">
        <v>83.25</v>
      </c>
      <c r="C51" s="3" t="n">
        <v>836.6900000000001</v>
      </c>
      <c r="D51" s="3" t="n">
        <v>325.45</v>
      </c>
      <c r="E51" s="3" t="n">
        <v>0.9358</v>
      </c>
    </row>
    <row r="52">
      <c r="A52" s="4" t="n">
        <v>0.9</v>
      </c>
      <c r="B52" s="4" t="n">
        <v>82.17</v>
      </c>
      <c r="C52" s="4" t="n">
        <v>809.59</v>
      </c>
      <c r="D52" s="4" t="n">
        <v>313.67</v>
      </c>
      <c r="E52" s="4" t="n">
        <v>0.9587</v>
      </c>
    </row>
    <row r="53">
      <c r="A53" s="3" t="n">
        <v>0.95</v>
      </c>
      <c r="B53" s="3" t="n">
        <v>81.12</v>
      </c>
      <c r="C53" s="3" t="n">
        <v>784.0700000000001</v>
      </c>
      <c r="D53" s="3" t="n">
        <v>302.61</v>
      </c>
      <c r="E53" s="3" t="n">
        <v>0.9801</v>
      </c>
    </row>
    <row r="54">
      <c r="A54" s="4" t="n">
        <v>1</v>
      </c>
      <c r="B54" s="4" t="n">
        <v>80.09999999999999</v>
      </c>
      <c r="C54" s="4" t="n">
        <v>760</v>
      </c>
      <c r="D54" s="4" t="n">
        <v>292.23</v>
      </c>
      <c r="E54" s="4" t="n">
        <v>1</v>
      </c>
    </row>
  </sheetData>
  <mergeCells count="4">
    <mergeCell ref="A32:H32"/>
    <mergeCell ref="A8:H8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2026-02-18T13:52:12Z</dcterms:created>
  <dcterms:modified xsi:type="dcterms:W3CDTF">2026-02-18T13:52:12Z</dcterms:modified>
</cp:coreProperties>
</file>